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mott/Desktop/Academy Spreadsheets/"/>
    </mc:Choice>
  </mc:AlternateContent>
  <xr:revisionPtr revIDLastSave="0" documentId="13_ncr:1_{DAA1B4A0-13C8-1D4C-8391-744EA3B9BC58}" xr6:coauthVersionLast="47" xr6:coauthVersionMax="47" xr10:uidLastSave="{00000000-0000-0000-0000-000000000000}"/>
  <bookViews>
    <workbookView xWindow="0" yWindow="660" windowWidth="30240" windowHeight="17300" xr2:uid="{5E559100-E540-C542-8173-74ADEF3A6647}"/>
  </bookViews>
  <sheets>
    <sheet name="R2R S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B4" i="9" l="1" a="1"/>
  <c r="B4" i="9" s="1"/>
  <c r="D19" i="9"/>
  <c r="D18" i="9" s="1"/>
  <c r="H15" i="9" s="1"/>
  <c r="H8" i="9"/>
  <c r="H7" i="9" l="1"/>
  <c r="H12" i="9" s="1"/>
  <c r="H16" i="9" s="1"/>
  <c r="H17" i="9" s="1"/>
  <c r="H18" i="9" s="1"/>
  <c r="H2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</author>
  </authors>
  <commentList>
    <comment ref="D16" authorId="0" shapeId="0" xr:uid="{07037C20-3FF0-3047-81DF-155538FD9D14}">
      <text>
        <r>
          <rPr>
            <b/>
            <sz val="10"/>
            <color rgb="FF000000"/>
            <rFont val="Tahoma"/>
            <family val="2"/>
          </rPr>
          <t>Anthony: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If you are renting the whole property out per night you will use 1 as the number of rooms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If you are renting the property on a room by room basis your will amend this to the number of rooms.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<sst xmlns="http://schemas.openxmlformats.org/spreadsheetml/2006/main" count="30" uniqueCount="30">
  <si>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 xml:space="preserve">Money Invested </t>
  </si>
  <si>
    <t>Expenses</t>
  </si>
  <si>
    <t>Commissions</t>
  </si>
  <si>
    <t>Maintenance</t>
  </si>
  <si>
    <t xml:space="preserve">Council Tax </t>
  </si>
  <si>
    <t xml:space="preserve">Refurbishment costs </t>
  </si>
  <si>
    <t xml:space="preserve">Utility bills </t>
  </si>
  <si>
    <t>Any other costs</t>
  </si>
  <si>
    <t>Channel Manager</t>
  </si>
  <si>
    <t xml:space="preserve">Total Money in </t>
  </si>
  <si>
    <t>Total Expenses</t>
  </si>
  <si>
    <t xml:space="preserve">Income Gross </t>
  </si>
  <si>
    <t>Cash Flow</t>
  </si>
  <si>
    <t>Room Rate</t>
  </si>
  <si>
    <t>Nightly</t>
  </si>
  <si>
    <t xml:space="preserve">Monthly Income </t>
  </si>
  <si>
    <t xml:space="preserve">Number of rooms </t>
  </si>
  <si>
    <t xml:space="preserve">Monthly Expenses </t>
  </si>
  <si>
    <t>Occupancy Rate</t>
  </si>
  <si>
    <t>%</t>
  </si>
  <si>
    <t xml:space="preserve">Profit Monthly </t>
  </si>
  <si>
    <t xml:space="preserve">Total Per Month </t>
  </si>
  <si>
    <t xml:space="preserve">Profit Annual </t>
  </si>
  <si>
    <t>Total Per Annum</t>
  </si>
  <si>
    <t xml:space="preserve">Return on Investment </t>
  </si>
  <si>
    <t>Deposit / Up Front Rent</t>
  </si>
  <si>
    <t>Rental payments</t>
  </si>
  <si>
    <t>Monthly</t>
  </si>
  <si>
    <t>Only enter data into the YELLOW cells</t>
  </si>
  <si>
    <t>Staging and Furnishing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</si>
</sst>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]#,##0.00"/>
  </numFmts>
  <fonts count="13" x14ac:knownFonts="1">
    <font>
      <sz val="12"/>
      <color theme="1"/>
      <name val="Aptos Narrow"/>
      <family val="2"/>
      <scheme val="minor"/>
    </font>
    <font>
      <b/>
      <sz val="24"/>
      <color rgb="FF000000"/>
      <name val="Helvetica Neue"/>
      <family val="2"/>
    </font>
    <font>
      <sz val="10"/>
      <color rgb="FF000000"/>
      <name val="Helvetica Neue"/>
      <family val="2"/>
    </font>
    <font>
      <sz val="24"/>
      <color rgb="FF000000"/>
      <name val="Helvetica Neue"/>
      <family val="2"/>
    </font>
    <font>
      <b/>
      <sz val="14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rgb="FF000000"/>
      <name val="Helvetica Neue"/>
      <family val="2"/>
    </font>
    <font>
      <b/>
      <sz val="12"/>
      <color rgb="FF000000"/>
      <name val="Helvetica Neue"/>
      <family val="2"/>
    </font>
    <font>
      <b/>
      <sz val="15"/>
      <color rgb="FF000000"/>
      <name val="Helvetica Neue"/>
      <family val="2"/>
    </font>
    <font>
      <sz val="12"/>
      <color theme="1"/>
      <name val="Helvetica Neue Ligh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34"/>
    </font>
  </fonts>
  <fills count="7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DF4D"/>
        <bgColor rgb="FFFFF056"/>
      </patternFill>
    </fill>
    <fill>
      <patternFill patternType="solid">
        <fgColor rgb="FFFBDF4D"/>
        <bgColor indexed="64"/>
      </patternFill>
    </fill>
  </fills>
  <borders count="9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5A5A5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10" fontId="8" fillId="0" borderId="1" xfId="0" applyNumberFormat="1" applyFont="1" applyBorder="1" applyAlignment="1">
      <alignment vertical="top" wrapText="1"/>
    </xf>
    <xf numFmtId="4" fontId="8" fillId="2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9" fontId="2" fillId="3" borderId="1" xfId="0" applyNumberFormat="1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7" fillId="0" borderId="5" xfId="0" applyNumberFormat="1" applyFont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164" fontId="2" fillId="5" borderId="1" xfId="0" applyNumberFormat="1" applyFont="1" applyFill="1" applyBorder="1" applyAlignment="1" applyProtection="1">
      <alignment vertical="top" wrapText="1"/>
      <protection locked="0"/>
    </xf>
    <xf numFmtId="10" fontId="2" fillId="5" borderId="1" xfId="0" applyNumberFormat="1" applyFont="1" applyFill="1" applyBorder="1" applyAlignment="1" applyProtection="1">
      <alignment vertical="top" wrapText="1"/>
      <protection locked="0"/>
    </xf>
    <xf numFmtId="9" fontId="2" fillId="5" borderId="1" xfId="0" applyNumberFormat="1" applyFont="1" applyFill="1" applyBorder="1" applyAlignment="1" applyProtection="1">
      <alignment vertical="top" wrapText="1"/>
      <protection locked="0"/>
    </xf>
    <xf numFmtId="0" fontId="9" fillId="6" borderId="6" xfId="0" applyFont="1" applyFill="1" applyBorder="1" applyAlignment="1">
      <alignment vertical="center" wrapText="1"/>
    </xf>
    <xf numFmtId="0" fontId="2" fillId="5" borderId="1" xfId="0" applyFont="1" applyFill="1" applyBorder="1" applyAlignment="1" applyProtection="1">
      <alignment horizontal="right" vertical="center" wrapText="1"/>
      <protection locked="0"/>
    </xf>
    <xf numFmtId="0" fontId="3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DF4D"/>
      <color rgb="FFFBDF4E"/>
      <color rgb="FFEFF6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33A6-1D94-054F-BED5-7F0E907402BA}">
  <sheetPr>
    <tabColor theme="7"/>
  </sheetPr>
  <dimension ref="A1:V1003"/>
  <sheetViews>
    <sheetView showGridLines="0" tabSelected="1" zoomScaleNormal="100" workbookViewId="0">
      <selection activeCell="B2" sqref="B2"/>
    </sheetView>
  </sheetViews>
  <sheetFormatPr baseColWidth="10" defaultColWidth="14.5" defaultRowHeight="16" x14ac:dyDescent="0.2"/>
  <cols>
    <col min="1" max="1" width="14.5" style="1" customWidth="1"/>
    <col min="2" max="2" width="24.33203125" style="1" customWidth="1"/>
    <col min="3" max="3" width="7" style="1" customWidth="1"/>
    <col min="4" max="4" width="12.6640625" style="1" customWidth="1"/>
    <col min="5" max="5" width="5.33203125" style="1" customWidth="1"/>
    <col min="6" max="6" width="25.1640625" style="1" customWidth="1"/>
    <col min="7" max="7" width="8.33203125" style="1" customWidth="1"/>
    <col min="8" max="8" width="15.33203125" style="1" customWidth="1"/>
    <col min="9" max="22" width="16.33203125" style="1" customWidth="1"/>
    <col min="23" max="16384" width="14.5" style="1"/>
  </cols>
  <sheetData>
    <row r="1" spans="1:22" ht="32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" customHeight="1" x14ac:dyDescent="0.2">
      <c r="A2" s="2"/>
      <c r="B2" s="31"/>
      <c r="C2" s="34" t="s">
        <v>28</v>
      </c>
      <c r="D2" s="35"/>
      <c r="E2" s="35"/>
      <c r="F2" s="35"/>
      <c r="G2" s="35"/>
      <c r="H2" s="3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31.5" customHeight="1" x14ac:dyDescent="0.2">
      <c r="A4" s="3"/>
      <c r="B4" s="33" t="str" cm="1">
        <f t="array" aca="1" ref="B4" ca="1">_xlfn.TEXTAFTER(CELL("filename",A1),"]")</f>
        <v>R2R SA</v>
      </c>
      <c r="C4" s="33"/>
      <c r="D4" s="33"/>
      <c r="E4" s="33"/>
      <c r="F4" s="33"/>
      <c r="G4" s="33"/>
      <c r="H4" s="3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4.75" customHeight="1" x14ac:dyDescent="0.2">
      <c r="A5" s="3"/>
      <c r="B5" s="4" t="s">
        <v>0</v>
      </c>
      <c r="C5" s="4"/>
      <c r="D5" s="5"/>
      <c r="E5" s="6"/>
      <c r="F5" s="4" t="s">
        <v>1</v>
      </c>
      <c r="G5" s="4"/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3"/>
      <c r="B6" s="7" t="s">
        <v>25</v>
      </c>
      <c r="C6" s="7"/>
      <c r="D6" s="28">
        <v>334</v>
      </c>
      <c r="E6" s="8"/>
      <c r="F6" s="7" t="s">
        <v>26</v>
      </c>
      <c r="G6" s="21" t="s">
        <v>27</v>
      </c>
      <c r="H6" s="28">
        <v>1200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.75" customHeight="1" x14ac:dyDescent="0.2">
      <c r="A7" s="3"/>
      <c r="B7" s="7" t="s">
        <v>5</v>
      </c>
      <c r="C7" s="22"/>
      <c r="D7" s="28">
        <v>3500</v>
      </c>
      <c r="E7" s="8"/>
      <c r="F7" s="7" t="s">
        <v>2</v>
      </c>
      <c r="G7" s="30">
        <v>0.15</v>
      </c>
      <c r="H7" s="9">
        <f>SUM(D18*G7)</f>
        <v>431.15625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9.5" customHeight="1" x14ac:dyDescent="0.2">
      <c r="A8" s="3"/>
      <c r="B8" s="7" t="s">
        <v>29</v>
      </c>
      <c r="C8" s="22"/>
      <c r="D8" s="28">
        <v>0</v>
      </c>
      <c r="E8" s="8"/>
      <c r="F8" s="7" t="s">
        <v>3</v>
      </c>
      <c r="G8" s="30">
        <v>0.05</v>
      </c>
      <c r="H8" s="9">
        <f>SUM(H6*G8)</f>
        <v>60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9.5" customHeight="1" x14ac:dyDescent="0.2">
      <c r="A9" s="3"/>
      <c r="B9" s="7" t="s">
        <v>7</v>
      </c>
      <c r="C9" s="22"/>
      <c r="D9" s="28">
        <v>0</v>
      </c>
      <c r="E9" s="8"/>
      <c r="F9" s="7" t="s">
        <v>4</v>
      </c>
      <c r="G9" s="7"/>
      <c r="H9" s="28">
        <v>173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9.5" customHeight="1" x14ac:dyDescent="0.2">
      <c r="A10" s="3"/>
      <c r="B10" s="7"/>
      <c r="C10" s="7"/>
      <c r="D10" s="23"/>
      <c r="E10" s="8"/>
      <c r="F10" s="7" t="s">
        <v>6</v>
      </c>
      <c r="G10" s="7"/>
      <c r="H10" s="28">
        <v>280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9.5" customHeight="1" x14ac:dyDescent="0.2">
      <c r="A11" s="3"/>
      <c r="B11" s="7"/>
      <c r="C11" s="7"/>
      <c r="D11" s="23"/>
      <c r="E11" s="8"/>
      <c r="F11" s="10" t="s">
        <v>8</v>
      </c>
      <c r="G11" s="10"/>
      <c r="H11" s="28">
        <v>35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9.5" customHeight="1" x14ac:dyDescent="0.2">
      <c r="A12" s="3"/>
      <c r="B12" s="7" t="s">
        <v>9</v>
      </c>
      <c r="C12" s="7"/>
      <c r="D12" s="11">
        <f>SUM(D6:D11)</f>
        <v>3834</v>
      </c>
      <c r="E12" s="12"/>
      <c r="F12" s="7" t="s">
        <v>10</v>
      </c>
      <c r="G12" s="7"/>
      <c r="H12" s="9">
        <f>SUM((H6:H11))</f>
        <v>2179.15625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9.5" customHeight="1" x14ac:dyDescent="0.2">
      <c r="A13" s="14"/>
      <c r="B13" s="13"/>
      <c r="C13" s="13"/>
      <c r="D13" s="13"/>
      <c r="E13" s="13"/>
      <c r="F13" s="13"/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24.75" customHeight="1" x14ac:dyDescent="0.2">
      <c r="A14" s="3"/>
      <c r="B14" s="4" t="s">
        <v>11</v>
      </c>
      <c r="C14" s="4"/>
      <c r="D14" s="15"/>
      <c r="E14" s="16"/>
      <c r="F14" s="4" t="s">
        <v>12</v>
      </c>
      <c r="G14" s="4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9.5" customHeight="1" x14ac:dyDescent="0.2">
      <c r="A15" s="3"/>
      <c r="B15" s="7" t="s">
        <v>13</v>
      </c>
      <c r="C15" s="7" t="s">
        <v>14</v>
      </c>
      <c r="D15" s="28">
        <v>135</v>
      </c>
      <c r="E15" s="8"/>
      <c r="F15" s="7" t="s">
        <v>15</v>
      </c>
      <c r="G15" s="7"/>
      <c r="H15" s="9">
        <f>SUM(D18)</f>
        <v>2874.375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9.5" customHeight="1" x14ac:dyDescent="0.2">
      <c r="A16" s="3"/>
      <c r="B16" s="7" t="s">
        <v>16</v>
      </c>
      <c r="C16" s="7"/>
      <c r="D16" s="32">
        <v>1</v>
      </c>
      <c r="E16" s="13"/>
      <c r="F16" s="7" t="s">
        <v>17</v>
      </c>
      <c r="G16" s="7"/>
      <c r="H16" s="9">
        <f>SUM(H12)</f>
        <v>2179.15625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9.5" customHeight="1" x14ac:dyDescent="0.2">
      <c r="A17" s="3"/>
      <c r="B17" s="7" t="s">
        <v>18</v>
      </c>
      <c r="C17" s="17" t="s">
        <v>19</v>
      </c>
      <c r="D17" s="29">
        <v>0.7</v>
      </c>
      <c r="E17" s="8"/>
      <c r="F17" s="7" t="s">
        <v>20</v>
      </c>
      <c r="G17" s="7"/>
      <c r="H17" s="9">
        <f>SUM(H15-H16)</f>
        <v>695.21875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9.5" customHeight="1" x14ac:dyDescent="0.2">
      <c r="A18" s="3"/>
      <c r="B18" s="24" t="s">
        <v>21</v>
      </c>
      <c r="C18" s="7"/>
      <c r="D18" s="9">
        <f>SUM(D19/12)</f>
        <v>2874.375</v>
      </c>
      <c r="E18" s="8"/>
      <c r="F18" s="7" t="s">
        <v>22</v>
      </c>
      <c r="G18" s="7"/>
      <c r="H18" s="9">
        <f>SUM(H17*12)</f>
        <v>8342.625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9.5" customHeight="1" x14ac:dyDescent="0.2">
      <c r="A19" s="3"/>
      <c r="B19" s="27" t="s">
        <v>23</v>
      </c>
      <c r="C19" s="25"/>
      <c r="D19" s="9">
        <f>SUM(D15*D16*365*D17)</f>
        <v>34492.5</v>
      </c>
      <c r="E19" s="13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6.25" customHeight="1" x14ac:dyDescent="0.2">
      <c r="A20" s="3"/>
      <c r="B20" s="26"/>
      <c r="C20" s="18"/>
      <c r="D20" s="19"/>
      <c r="E20" s="20"/>
      <c r="F20" s="26" t="s">
        <v>24</v>
      </c>
      <c r="G20" s="18"/>
      <c r="H20" s="19">
        <f>SUM(H18/D12)</f>
        <v>2.1759585289514867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9.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9.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9.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9.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9.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9.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9.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9.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9.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9.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9.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9.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9.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9.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9.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9.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9.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9.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9.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9.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9.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9.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9.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9.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9.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9.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9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9.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9.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9.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9.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9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9.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9.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9.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9.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9.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9.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9.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9.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9.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9.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9.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9.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9.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9.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9.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9.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9.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9.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9.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9.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9.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9.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9.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9.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9.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9.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9.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9.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9.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9.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9.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9.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9.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9.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9.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9.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9.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9.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9.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9.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9.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9.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9.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9.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9.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9.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9.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9.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9.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9.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9.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9.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9.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9.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9.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9.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9.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9.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9.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9.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9.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9.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9.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9.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9.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9.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9.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9.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9.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9.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9.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9.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9.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9.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9.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9.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9.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9.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9.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9.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9.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9.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9.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9.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9.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9.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9.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9.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9.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9.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9.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9.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9.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9.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9.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9.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9.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9.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9.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9.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9.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9.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9.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9.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9.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9.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9.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9.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9.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9.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9.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9.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9.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9.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9.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9.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9.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9.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9.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9.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9.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9.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9.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9.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9.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9.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9.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9.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9.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9.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9.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9.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9.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9.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9.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9.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9.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9.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9.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9.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9.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9.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9.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9.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9.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9.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9.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9.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9.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9.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9.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9.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9.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9.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9.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9.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9.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9.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9.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9.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9.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9.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9.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9.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9.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9.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9.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9.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9.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9.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9.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9.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9.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9.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9.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9.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9.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9.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9.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9.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9.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9.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9.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9.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9.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9.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9.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9.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9.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9.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9.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9.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9.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9.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9.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9.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9.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9.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9.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9.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9.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9.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9.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9.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9.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9.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9.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9.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9.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9.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9.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9.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9.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9.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9.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9.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9.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9.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9.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9.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9.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9.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9.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9.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9.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9.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9.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9.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9.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9.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9.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9.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9.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9.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9.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9.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9.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9.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9.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9.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9.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9.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9.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9.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9.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9.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9.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9.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9.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9.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9.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9.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9.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9.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9.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9.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9.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9.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9.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9.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9.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9.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9.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9.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9.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9.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9.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9.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9.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9.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9.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9.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9.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9.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9.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9.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9.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9.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9.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9.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9.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9.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9.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9.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9.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9.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9.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9.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9.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9.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9.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9.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9.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9.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9.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9.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9.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9.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9.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9.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9.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9.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9.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9.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9.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9.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9.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9.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9.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9.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9.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9.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9.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9.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9.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9.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9.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9.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9.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9.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9.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9.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9.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9.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9.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9.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9.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9.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9.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9.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9.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9.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9.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9.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9.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9.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9.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9.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9.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9.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9.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9.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9.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9.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9.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9.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9.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9.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9.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9.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9.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9.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9.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9.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9.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9.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9.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9.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9.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9.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9.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9.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9.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9.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9.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9.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9.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9.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9.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9.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9.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9.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9.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9.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9.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9.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9.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9.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9.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9.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9.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9.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9.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9.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9.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9.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9.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9.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9.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9.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9.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9.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9.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9.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9.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9.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9.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9.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9.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9.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9.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9.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9.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9.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9.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9.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9.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9.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9.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9.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9.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9.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9.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9.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9.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9.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9.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9.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9.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9.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9.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9.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9.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9.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9.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9.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9.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9.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9.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9.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9.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9.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9.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9.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9.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9.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9.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9.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9.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9.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9.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9.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9.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9.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9.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9.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9.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9.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9.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9.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9.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9.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9.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9.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9.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9.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9.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9.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9.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9.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9.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9.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9.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9.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9.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9.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9.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9.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9.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9.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9.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9.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9.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9.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9.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9.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9.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9.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9.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9.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9.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9.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9.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9.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9.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9.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9.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9.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9.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9.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9.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9.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9.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9.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9.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9.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9.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9.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9.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9.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9.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9.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9.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9.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9.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9.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9.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9.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9.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9.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9.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9.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9.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9.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9.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9.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9.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9.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9.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9.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9.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9.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9.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9.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9.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9.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9.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9.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9.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9.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9.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9.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9.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9.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9.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9.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9.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9.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9.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9.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9.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9.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9.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9.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9.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9.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9.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9.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9.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9.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9.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9.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9.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9.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9.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9.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9.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9.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9.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9.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9.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9.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9.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9.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9.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9.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9.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9.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9.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9.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9.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9.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9.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9.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9.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9.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9.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9.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9.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9.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9.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9.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9.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9.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9.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9.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9.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9.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9.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9.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9.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9.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9.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9.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9.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9.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9.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9.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9.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9.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9.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9.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9.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9.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9.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9.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9.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9.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9.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9.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9.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9.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9.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9.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9.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9.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9.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9.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9.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9.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9.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9.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9.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9.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9.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9.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9.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9.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9.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9.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9.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9.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9.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9.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9.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9.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9.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9.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9.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9.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9.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9.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9.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9.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9.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9.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9.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9.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9.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9.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9.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9.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9.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9.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9.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9.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9.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9.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9.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9.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9.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9.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9.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9.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9.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9.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9.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9.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9.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9.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9.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9.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9.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9.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9.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9.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9.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9.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9.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9.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9.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9.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9.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9.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9.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9.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9.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9.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9.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9.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9.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9.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9.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9.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9.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9.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9.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9.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9.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9.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9.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9.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9.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9.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9.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9.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9.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9.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9.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9.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9.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9.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9.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9.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9.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9.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9.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9.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9.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9.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9.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9.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9.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9.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9.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9.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9.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9.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9.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9.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9.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9.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9.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9.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9.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9.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9.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9.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9.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9.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9.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9.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9.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9.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9.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9.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9.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9.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9.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9.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9.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9.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9.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9.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9.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9.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9.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9.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9.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9.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9.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9.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9.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9.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9.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9.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9.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9.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9.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9.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9.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9.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9.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9.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9.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9.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9.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9.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9.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9.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9.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9.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9.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9.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9.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9.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9.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9.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9.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9.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9.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9.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9.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9.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9.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9.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9.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9.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9.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9.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9.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9.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9.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9.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9.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9.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9.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9.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9.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9.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9.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9.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9.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9.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9.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9.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9.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9.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9.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9.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9.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9.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9.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9.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9.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9.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9.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9.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9.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9.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9.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9.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9.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9.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9.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9.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9.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9.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9.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9.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9.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9.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9.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9.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9.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9.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9.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9.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9.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9.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9.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9.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9.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9.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9.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9.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9.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9.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9.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9.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9.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9.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9.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9.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9.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9.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9.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9.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9.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9.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9.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9.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9.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9.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9.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9.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9.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9.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9.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9.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9.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9.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9.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9.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9.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9.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9.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9.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9.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9.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9.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9.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9.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9.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9.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9.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9.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9.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9.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9.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9.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9.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9.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9.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9.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9.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9.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9.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9.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9.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9.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9.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9.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9.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9.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9.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9.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9.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9.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9.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9.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9.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9.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9.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9.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9.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9.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9.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9.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9.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9.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9.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9.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9.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9.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9.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9.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9.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9.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9.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9.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9.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9.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:22" ht="19.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 ht="19.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:22" ht="19.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</sheetData>
  <sheetProtection algorithmName="SHA-512" hashValue="4UbQu6LTkwDcA/qnslpEfmdMiuLe5r1Ih1fZWhK7mBKOuQcjZ/v4WSFglU3dw/2oaf5gdifPRk+ICYPwK9jhZQ==" saltValue="Csoym1l3vV2f5TevfZ2RrA==" spinCount="100000" sheet="1" objects="1" scenarios="1"/>
  <mergeCells count="2">
    <mergeCell ref="B4:H4"/>
    <mergeCell ref="C2:H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R2R 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Wilmott</dc:creator>
  <cp:lastModifiedBy>Anthony Wilmott</cp:lastModifiedBy>
  <dcterms:created xsi:type="dcterms:W3CDTF">2026-01-09T19:53:40Z</dcterms:created>
  <dcterms:modified xsi:type="dcterms:W3CDTF">2026-01-29T13:33:12Z</dcterms:modified>
</cp:coreProperties>
</file>